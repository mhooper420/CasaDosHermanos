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gh-In" sheetId="1" state="visible" r:id="rId3"/>
    <sheet name="Register" sheetId="2" state="visible" r:id="rId4"/>
    <sheet name="Metho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<sst xmlns="http://schemas.openxmlformats.org/spreadsheetml/2006/main" count="308" uniqueCount="107">
  <si>
    <t xml:space="preserve">Room</t>
  </si>
  <si>
    <t xml:space="preserve">Floor</t>
  </si>
  <si>
    <t xml:space="preserve">System</t>
  </si>
  <si>
    <t xml:space="preserve">KB code</t>
  </si>
  <si>
    <t xml:space="preserve">Description</t>
  </si>
  <si>
    <t xml:space="preserve">Qty</t>
  </si>
  <si>
    <t xml:space="preserve">Unit $</t>
  </si>
  <si>
    <t xml:space="preserve">Total $</t>
  </si>
  <si>
    <t xml:space="preserve">Status</t>
  </si>
  <si>
    <t xml:space="preserve">Great Room + Kitchen</t>
  </si>
  <si>
    <t xml:space="preserve">F1</t>
  </si>
  <si>
    <t xml:space="preserve">data</t>
  </si>
  <si>
    <t xml:space="preserve">2010394</t>
  </si>
  <si>
    <t xml:space="preserve">Great-room media wall — dual-port CAT6</t>
  </si>
  <si>
    <t xml:space="preserve">add</t>
  </si>
  <si>
    <t xml:space="preserve">Ceiling AP, Floor 1 central — redundant pair</t>
  </si>
  <si>
    <t xml:space="preserve">Bedroom 2 (Office)</t>
  </si>
  <si>
    <t xml:space="preserve">F2</t>
  </si>
  <si>
    <t xml:space="preserve">Office desk wall — dual-port CAT6</t>
  </si>
  <si>
    <t xml:space="preserve">Primary Bedroom</t>
  </si>
  <si>
    <t xml:space="preserve">Primary TV/desk wall</t>
  </si>
  <si>
    <t xml:space="preserve">Loft</t>
  </si>
  <si>
    <t xml:space="preserve">Loft media/console wall</t>
  </si>
  <si>
    <t xml:space="preserve">Bedroom 3 (Guest)</t>
  </si>
  <si>
    <t xml:space="preserve">Guest room desk/TV</t>
  </si>
  <si>
    <t xml:space="preserve">F2 Landing</t>
  </si>
  <si>
    <t xml:space="preserve">Ceiling AP, F2 landing — single</t>
  </si>
  <si>
    <t xml:space="preserve">Front Porch / Entry</t>
  </si>
  <si>
    <t xml:space="preserve">Video doorbell, front door frame</t>
  </si>
  <si>
    <t xml:space="preserve">Garage</t>
  </si>
  <si>
    <t xml:space="preserve">Garage wall (workbench)</t>
  </si>
  <si>
    <t xml:space="preserve">Basement (Daniel)</t>
  </si>
  <si>
    <t xml:space="preserve">BSMT</t>
  </si>
  <si>
    <t xml:space="preserve">Basement media wall (Daniel)</t>
  </si>
  <si>
    <t xml:space="preserve">Ceiling AP, basement — redundant pair</t>
  </si>
  <si>
    <t xml:space="preserve">2018557</t>
  </si>
  <si>
    <t xml:space="preserve">Conduit stub: closet head-end → attic (1¼″, pull string, incl. 2× 110V)</t>
  </si>
  <si>
    <t xml:space="preserve">power</t>
  </si>
  <si>
    <t xml:space="preserve">2010590</t>
  </si>
  <si>
    <t xml:space="preserve">Bedside outlets, one per side</t>
  </si>
  <si>
    <t xml:space="preserve">TV-height outlet, mount wall</t>
  </si>
  <si>
    <t xml:space="preserve">TV-height outlet, media wall</t>
  </si>
  <si>
    <t xml:space="preserve">TV-height outlet, console wall</t>
  </si>
  <si>
    <t xml:space="preserve">Desk-wall outlets</t>
  </si>
  <si>
    <t xml:space="preserve">Outlet inside upper cabinet — under-cabinet tape feed</t>
  </si>
  <si>
    <t xml:space="preserve">2010655</t>
  </si>
  <si>
    <t xml:space="preserve">Switch for under-cabinet tape circuit</t>
  </si>
  <si>
    <t xml:space="preserve">Primary Bath</t>
  </si>
  <si>
    <t xml:space="preserve">2010591</t>
  </si>
  <si>
    <t xml:space="preserve">GFI at WC — washlet supply</t>
  </si>
  <si>
    <t xml:space="preserve">2010596</t>
  </si>
  <si>
    <t xml:space="preserve">20 A separate circuit — tech closet + office desk</t>
  </si>
  <si>
    <t xml:space="preserve">2010624</t>
  </si>
  <si>
    <t xml:space="preserve">Exterior GFI at front eave — holiday lighting</t>
  </si>
  <si>
    <t xml:space="preserve">Interior switch for eave outlet</t>
  </si>
  <si>
    <t xml:space="preserve">light</t>
  </si>
  <si>
    <t xml:space="preserve">2010787</t>
  </si>
  <si>
    <t xml:space="preserve">Ceiling fan prewire w/ 2 switches</t>
  </si>
  <si>
    <t xml:space="preserve">Ceiling fan prewire w/ 2 switches — guest room</t>
  </si>
  <si>
    <t xml:space="preserve">2022284</t>
  </si>
  <si>
    <t xml:space="preserve">Geary two-light flush mount — ceiling-box carrier</t>
  </si>
  <si>
    <t xml:space="preserve">Additional switch — accent-layer separation</t>
  </si>
  <si>
    <t xml:space="preserve">ASK: second conduit, closet → basement ceiling void</t>
  </si>
  <si>
    <t xml:space="preserve">verify</t>
  </si>
  <si>
    <t xml:space="preserve">—</t>
  </si>
  <si>
    <t xml:space="preserve">Fibre service entry → path/conduit to Bed-2 closet; ONT placed in closet (or Ethernet handoff from entry point)</t>
  </si>
  <si>
    <t xml:space="preserve">Confirm: all 15 drops terminate in Bed-2 closet; if enclosure relocation is refused, name the per-plan enclosure location</t>
  </si>
  <si>
    <t xml:space="preserve">Confirm exterior CAT6 placement at door frame + drops tested/certified with results</t>
  </si>
  <si>
    <t xml:space="preserve">In-ceiling speaker pre-wire (great room) — ask if offered</t>
  </si>
  <si>
    <t xml:space="preserve">In-ceiling speaker pre-wire (primary) — ask if offered</t>
  </si>
  <si>
    <t xml:space="preserve">In-ceiling speaker pre-wire (loft) — ask if offered</t>
  </si>
  <si>
    <t xml:space="preserve">Laundry</t>
  </si>
  <si>
    <t xml:space="preserve">Confirm neutral at every switch box + HVAC C-wire/zoning provisioning</t>
  </si>
  <si>
    <t xml:space="preserve">KB ORDER TOTAL</t>
  </si>
  <si>
    <t xml:space="preserve">Casa Dos Hermanos — Master Room Register v2.1 · 13 Jul 2026 · head-end: Bed-2 (office) closet · EV excluded</t>
  </si>
  <si>
    <t xml:space="preserve">Occupancy</t>
  </si>
  <si>
    <t xml:space="preserve">CAT6 drops</t>
  </si>
  <si>
    <t xml:space="preserve">Power adds</t>
  </si>
  <si>
    <t xml:space="preserve">Lighting adds</t>
  </si>
  <si>
    <t xml:space="preserve">Rough-in $ (adds)</t>
  </si>
  <si>
    <t xml:space="preserve">Notes</t>
  </si>
  <si>
    <t xml:space="preserve">Shared</t>
  </si>
  <si>
    <t xml:space="preserve">1 CAT6 (workbench). EV outlet deliberately excluded.</t>
  </si>
  <si>
    <t xml:space="preserve">Doorbell CAT6; eave GFI + switch</t>
  </si>
  <si>
    <t xml:space="preserve">Media wall dual CAT6 + F1 AP pair; UC-tape feed outlet+switch</t>
  </si>
  <si>
    <t xml:space="preserve">Pantry</t>
  </si>
  <si>
    <t xml:space="preserve">Coats</t>
  </si>
  <si>
    <t xml:space="preserve">Powder</t>
  </si>
  <si>
    <t xml:space="preserve">Salieri</t>
  </si>
  <si>
    <t xml:space="preserve">Fan prewire + extra switch; bedside pair; TV outlet</t>
  </si>
  <si>
    <t xml:space="preserve">GFI at WC (washlet)</t>
  </si>
  <si>
    <t xml:space="preserve">Pwic</t>
  </si>
  <si>
    <t xml:space="preserve">TECH CLOSET: head-end, 20A circuit, attic conduit stub; dual CAT6 + desk outlets; Geary as box carrier</t>
  </si>
  <si>
    <t xml:space="preserve">Parents (guest)</t>
  </si>
  <si>
    <t xml:space="preserve">Fan prewire; 1 drop (insurance tier)</t>
  </si>
  <si>
    <t xml:space="preserve">Bath2</t>
  </si>
  <si>
    <t xml:space="preserve">Fan prewire + extra switch; media drop; TV outlet</t>
  </si>
  <si>
    <t xml:space="preserve">F2 landing AP — single, attic-retrofittable</t>
  </si>
  <si>
    <t xml:space="preserve">Daniel</t>
  </si>
  <si>
    <t xml:space="preserve">Daniel: media + AP pair (ceiling gets drywalled)</t>
  </si>
  <si>
    <t xml:space="preserve">Bupper</t>
  </si>
  <si>
    <t xml:space="preserve">TOTAL</t>
  </si>
  <si>
    <t xml:space="preserve">Register v2.1 — provenance &amp; use</t>
  </si>
  <si>
    <t xml:space="preserve">• Single source: cdh_roughin_v2.json drives this file, plan_roughin_v6.html, network.html rev2 and the Selection Schedule.</t>
  </si>
  <si>
    <t xml:space="preserve">• v2 changes: head-end relocated garage → Bed-2 closet; 20A circuit moved to closet (serves office too); EV outlet removed; basement conduit demoted to ASK; fibre-entry path is now KB question #1.</t>
  </si>
  <si>
    <t xml:space="preserve">• Quantities = ADDS above KB base spec. Blue cells editable; totals recalc. 'verify' rows are uncosted questions.</t>
  </si>
  <si>
    <t xml:space="preserve">• Areas intentionally omitted — they live in 2088_authoritative_dims_v2.json / Plan2088_Room_Schedule.xlsx.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</si>
</sst>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BFAF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C1A16"/>
      <name val="Arial"/>
      <family val="0"/>
      <charset val="1"/>
    </font>
    <font>
      <b val="true"/>
      <sz val="11"/>
      <color rgb="FF1C1A16"/>
      <name val="Arial"/>
      <family val="0"/>
      <charset val="1"/>
    </font>
    <font>
      <sz val="10"/>
      <color rgb="FF1C1A1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A16"/>
        <bgColor rgb="FF333333"/>
      </patternFill>
    </fill>
    <fill>
      <patternFill patternType="solid">
        <fgColor rgb="FFFFF2CC"/>
        <bgColor rgb="FFFBFAF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FA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A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64"/>
    <col collapsed="false" customWidth="true" hidden="false" outlineLevel="0" max="6" min="6" style="0" width="5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2" t="n">
        <v>2</v>
      </c>
      <c r="G2" s="3" t="n">
        <v>119</v>
      </c>
      <c r="H2" s="4" t="n">
        <f aca="false">IF(I2="add",F2*G2,0)</f>
        <v>238</v>
      </c>
      <c r="I2" s="5" t="s">
        <v>14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12</v>
      </c>
      <c r="E3" s="0" t="s">
        <v>15</v>
      </c>
      <c r="F3" s="2" t="n">
        <v>2</v>
      </c>
      <c r="G3" s="3" t="n">
        <v>119</v>
      </c>
      <c r="H3" s="4" t="n">
        <f aca="false">IF(I3="add",F3*G3,0)</f>
        <v>238</v>
      </c>
      <c r="I3" s="5" t="s">
        <v>14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11</v>
      </c>
      <c r="D4" s="0" t="s">
        <v>12</v>
      </c>
      <c r="E4" s="0" t="s">
        <v>18</v>
      </c>
      <c r="F4" s="2" t="n">
        <v>2</v>
      </c>
      <c r="G4" s="3" t="n">
        <v>119</v>
      </c>
      <c r="H4" s="4" t="n">
        <f aca="false">IF(I4="add",F4*G4,0)</f>
        <v>238</v>
      </c>
      <c r="I4" s="5" t="s">
        <v>14</v>
      </c>
    </row>
    <row r="5" customFormat="false" ht="15" hidden="false" customHeight="false" outlineLevel="0" collapsed="false">
      <c r="A5" s="0" t="s">
        <v>19</v>
      </c>
      <c r="B5" s="0" t="s">
        <v>17</v>
      </c>
      <c r="C5" s="0" t="s">
        <v>11</v>
      </c>
      <c r="D5" s="0" t="s">
        <v>12</v>
      </c>
      <c r="E5" s="0" t="s">
        <v>20</v>
      </c>
      <c r="F5" s="2" t="n">
        <v>1</v>
      </c>
      <c r="G5" s="3" t="n">
        <v>119</v>
      </c>
      <c r="H5" s="4" t="n">
        <f aca="false">IF(I5="add",F5*G5,0)</f>
        <v>119</v>
      </c>
      <c r="I5" s="5" t="s">
        <v>14</v>
      </c>
    </row>
    <row r="6" customFormat="false" ht="15" hidden="false" customHeight="false" outlineLevel="0" collapsed="false">
      <c r="A6" s="0" t="s">
        <v>21</v>
      </c>
      <c r="B6" s="0" t="s">
        <v>17</v>
      </c>
      <c r="C6" s="0" t="s">
        <v>11</v>
      </c>
      <c r="D6" s="0" t="s">
        <v>12</v>
      </c>
      <c r="E6" s="0" t="s">
        <v>22</v>
      </c>
      <c r="F6" s="2" t="n">
        <v>1</v>
      </c>
      <c r="G6" s="3" t="n">
        <v>119</v>
      </c>
      <c r="H6" s="4" t="n">
        <f aca="false">IF(I6="add",F6*G6,0)</f>
        <v>119</v>
      </c>
      <c r="I6" s="5" t="s">
        <v>14</v>
      </c>
    </row>
    <row r="7" customFormat="false" ht="15" hidden="false" customHeight="false" outlineLevel="0" collapsed="false">
      <c r="A7" s="0" t="s">
        <v>23</v>
      </c>
      <c r="B7" s="0" t="s">
        <v>17</v>
      </c>
      <c r="C7" s="0" t="s">
        <v>11</v>
      </c>
      <c r="D7" s="0" t="s">
        <v>12</v>
      </c>
      <c r="E7" s="0" t="s">
        <v>24</v>
      </c>
      <c r="F7" s="2" t="n">
        <v>1</v>
      </c>
      <c r="G7" s="3" t="n">
        <v>119</v>
      </c>
      <c r="H7" s="4" t="n">
        <f aca="false">IF(I7="add",F7*G7,0)</f>
        <v>119</v>
      </c>
      <c r="I7" s="5" t="s">
        <v>14</v>
      </c>
    </row>
    <row r="8" customFormat="false" ht="15" hidden="false" customHeight="false" outlineLevel="0" collapsed="false">
      <c r="A8" s="0" t="s">
        <v>25</v>
      </c>
      <c r="B8" s="0" t="s">
        <v>17</v>
      </c>
      <c r="C8" s="0" t="s">
        <v>11</v>
      </c>
      <c r="D8" s="0" t="s">
        <v>12</v>
      </c>
      <c r="E8" s="0" t="s">
        <v>26</v>
      </c>
      <c r="F8" s="2" t="n">
        <v>1</v>
      </c>
      <c r="G8" s="3" t="n">
        <v>119</v>
      </c>
      <c r="H8" s="4" t="n">
        <f aca="false">IF(I8="add",F8*G8,0)</f>
        <v>119</v>
      </c>
      <c r="I8" s="5" t="s">
        <v>14</v>
      </c>
    </row>
    <row r="9" customFormat="false" ht="15" hidden="false" customHeight="false" outlineLevel="0" collapsed="false">
      <c r="A9" s="0" t="s">
        <v>27</v>
      </c>
      <c r="B9" s="0" t="s">
        <v>10</v>
      </c>
      <c r="C9" s="0" t="s">
        <v>11</v>
      </c>
      <c r="D9" s="0" t="s">
        <v>12</v>
      </c>
      <c r="E9" s="0" t="s">
        <v>28</v>
      </c>
      <c r="F9" s="2" t="n">
        <v>1</v>
      </c>
      <c r="G9" s="3" t="n">
        <v>119</v>
      </c>
      <c r="H9" s="4" t="n">
        <f aca="false">IF(I9="add",F9*G9,0)</f>
        <v>119</v>
      </c>
      <c r="I9" s="5" t="s">
        <v>14</v>
      </c>
    </row>
    <row r="10" customFormat="false" ht="15" hidden="false" customHeight="false" outlineLevel="0" collapsed="false">
      <c r="A10" s="0" t="s">
        <v>29</v>
      </c>
      <c r="B10" s="0" t="s">
        <v>10</v>
      </c>
      <c r="C10" s="0" t="s">
        <v>11</v>
      </c>
      <c r="D10" s="0" t="s">
        <v>12</v>
      </c>
      <c r="E10" s="0" t="s">
        <v>30</v>
      </c>
      <c r="F10" s="2" t="n">
        <v>1</v>
      </c>
      <c r="G10" s="3" t="n">
        <v>119</v>
      </c>
      <c r="H10" s="4" t="n">
        <f aca="false">IF(I10="add",F10*G10,0)</f>
        <v>119</v>
      </c>
      <c r="I10" s="5" t="s">
        <v>14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11</v>
      </c>
      <c r="D11" s="0" t="s">
        <v>12</v>
      </c>
      <c r="E11" s="0" t="s">
        <v>33</v>
      </c>
      <c r="F11" s="2" t="n">
        <v>1</v>
      </c>
      <c r="G11" s="3" t="n">
        <v>119</v>
      </c>
      <c r="H11" s="4" t="n">
        <f aca="false">IF(I11="add",F11*G11,0)</f>
        <v>119</v>
      </c>
      <c r="I11" s="5" t="s">
        <v>14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s">
        <v>11</v>
      </c>
      <c r="D12" s="0" t="s">
        <v>12</v>
      </c>
      <c r="E12" s="0" t="s">
        <v>34</v>
      </c>
      <c r="F12" s="2" t="n">
        <v>2</v>
      </c>
      <c r="G12" s="3" t="n">
        <v>119</v>
      </c>
      <c r="H12" s="4" t="n">
        <f aca="false">IF(I12="add",F12*G12,0)</f>
        <v>238</v>
      </c>
      <c r="I12" s="5" t="s">
        <v>14</v>
      </c>
    </row>
    <row r="13" customFormat="false" ht="15" hidden="false" customHeight="false" outlineLevel="0" collapsed="false">
      <c r="A13" s="0" t="s">
        <v>16</v>
      </c>
      <c r="B13" s="0" t="s">
        <v>17</v>
      </c>
      <c r="C13" s="0" t="s">
        <v>11</v>
      </c>
      <c r="D13" s="0" t="s">
        <v>35</v>
      </c>
      <c r="E13" s="0" t="s">
        <v>36</v>
      </c>
      <c r="F13" s="2" t="n">
        <v>1</v>
      </c>
      <c r="G13" s="3" t="n">
        <v>279</v>
      </c>
      <c r="H13" s="4" t="n">
        <f aca="false">IF(I13="add",F13*G13,0)</f>
        <v>279</v>
      </c>
      <c r="I13" s="5" t="s">
        <v>14</v>
      </c>
    </row>
    <row r="14" customFormat="false" ht="15" hidden="false" customHeight="false" outlineLevel="0" collapsed="false">
      <c r="A14" s="0" t="s">
        <v>19</v>
      </c>
      <c r="B14" s="0" t="s">
        <v>17</v>
      </c>
      <c r="C14" s="0" t="s">
        <v>37</v>
      </c>
      <c r="D14" s="0" t="s">
        <v>38</v>
      </c>
      <c r="E14" s="0" t="s">
        <v>39</v>
      </c>
      <c r="F14" s="2" t="n">
        <v>2</v>
      </c>
      <c r="G14" s="3" t="n">
        <v>69</v>
      </c>
      <c r="H14" s="4" t="n">
        <f aca="false">IF(I14="add",F14*G14,0)</f>
        <v>138</v>
      </c>
      <c r="I14" s="5" t="s">
        <v>14</v>
      </c>
    </row>
    <row r="15" customFormat="false" ht="15" hidden="false" customHeight="false" outlineLevel="0" collapsed="false">
      <c r="A15" s="0" t="s">
        <v>19</v>
      </c>
      <c r="B15" s="0" t="s">
        <v>17</v>
      </c>
      <c r="C15" s="0" t="s">
        <v>37</v>
      </c>
      <c r="D15" s="0" t="s">
        <v>38</v>
      </c>
      <c r="E15" s="0" t="s">
        <v>40</v>
      </c>
      <c r="F15" s="2" t="n">
        <v>1</v>
      </c>
      <c r="G15" s="3" t="n">
        <v>69</v>
      </c>
      <c r="H15" s="4" t="n">
        <f aca="false">IF(I15="add",F15*G15,0)</f>
        <v>69</v>
      </c>
      <c r="I15" s="5" t="s">
        <v>14</v>
      </c>
    </row>
    <row r="16" customFormat="false" ht="15" hidden="false" customHeight="false" outlineLevel="0" collapsed="false">
      <c r="A16" s="0" t="s">
        <v>9</v>
      </c>
      <c r="B16" s="0" t="s">
        <v>10</v>
      </c>
      <c r="C16" s="0" t="s">
        <v>37</v>
      </c>
      <c r="D16" s="0" t="s">
        <v>38</v>
      </c>
      <c r="E16" s="0" t="s">
        <v>41</v>
      </c>
      <c r="F16" s="2" t="n">
        <v>1</v>
      </c>
      <c r="G16" s="3" t="n">
        <v>69</v>
      </c>
      <c r="H16" s="4" t="n">
        <f aca="false">IF(I16="add",F16*G16,0)</f>
        <v>69</v>
      </c>
      <c r="I16" s="5" t="s">
        <v>14</v>
      </c>
    </row>
    <row r="17" customFormat="false" ht="15" hidden="false" customHeight="false" outlineLevel="0" collapsed="false">
      <c r="A17" s="0" t="s">
        <v>21</v>
      </c>
      <c r="B17" s="0" t="s">
        <v>17</v>
      </c>
      <c r="C17" s="0" t="s">
        <v>37</v>
      </c>
      <c r="D17" s="0" t="s">
        <v>38</v>
      </c>
      <c r="E17" s="0" t="s">
        <v>42</v>
      </c>
      <c r="F17" s="2" t="n">
        <v>1</v>
      </c>
      <c r="G17" s="3" t="n">
        <v>69</v>
      </c>
      <c r="H17" s="4" t="n">
        <f aca="false">IF(I17="add",F17*G17,0)</f>
        <v>69</v>
      </c>
      <c r="I17" s="5" t="s">
        <v>14</v>
      </c>
    </row>
    <row r="18" customFormat="false" ht="15" hidden="false" customHeight="false" outlineLevel="0" collapsed="false">
      <c r="A18" s="0" t="s">
        <v>16</v>
      </c>
      <c r="B18" s="0" t="s">
        <v>17</v>
      </c>
      <c r="C18" s="0" t="s">
        <v>37</v>
      </c>
      <c r="D18" s="0" t="s">
        <v>38</v>
      </c>
      <c r="E18" s="0" t="s">
        <v>43</v>
      </c>
      <c r="F18" s="2" t="n">
        <v>2</v>
      </c>
      <c r="G18" s="3" t="n">
        <v>69</v>
      </c>
      <c r="H18" s="4" t="n">
        <f aca="false">IF(I18="add",F18*G18,0)</f>
        <v>138</v>
      </c>
      <c r="I18" s="5" t="s">
        <v>14</v>
      </c>
    </row>
    <row r="19" customFormat="false" ht="15" hidden="false" customHeight="false" outlineLevel="0" collapsed="false">
      <c r="A19" s="0" t="s">
        <v>9</v>
      </c>
      <c r="B19" s="0" t="s">
        <v>10</v>
      </c>
      <c r="C19" s="0" t="s">
        <v>37</v>
      </c>
      <c r="D19" s="0" t="s">
        <v>38</v>
      </c>
      <c r="E19" s="0" t="s">
        <v>44</v>
      </c>
      <c r="F19" s="2" t="n">
        <v>1</v>
      </c>
      <c r="G19" s="3" t="n">
        <v>69</v>
      </c>
      <c r="H19" s="4" t="n">
        <f aca="false">IF(I19="add",F19*G19,0)</f>
        <v>69</v>
      </c>
      <c r="I19" s="5" t="s">
        <v>14</v>
      </c>
    </row>
    <row r="20" customFormat="false" ht="15" hidden="false" customHeight="false" outlineLevel="0" collapsed="false">
      <c r="A20" s="0" t="s">
        <v>9</v>
      </c>
      <c r="B20" s="0" t="s">
        <v>10</v>
      </c>
      <c r="C20" s="0" t="s">
        <v>37</v>
      </c>
      <c r="D20" s="0" t="s">
        <v>45</v>
      </c>
      <c r="E20" s="0" t="s">
        <v>46</v>
      </c>
      <c r="F20" s="2" t="n">
        <v>1</v>
      </c>
      <c r="G20" s="3" t="n">
        <v>69</v>
      </c>
      <c r="H20" s="4" t="n">
        <f aca="false">IF(I20="add",F20*G20,0)</f>
        <v>69</v>
      </c>
      <c r="I20" s="5" t="s">
        <v>14</v>
      </c>
    </row>
    <row r="21" customFormat="false" ht="15" hidden="false" customHeight="false" outlineLevel="0" collapsed="false">
      <c r="A21" s="0" t="s">
        <v>47</v>
      </c>
      <c r="B21" s="0" t="s">
        <v>17</v>
      </c>
      <c r="C21" s="0" t="s">
        <v>37</v>
      </c>
      <c r="D21" s="0" t="s">
        <v>48</v>
      </c>
      <c r="E21" s="0" t="s">
        <v>49</v>
      </c>
      <c r="F21" s="2" t="n">
        <v>1</v>
      </c>
      <c r="G21" s="3" t="n">
        <v>79</v>
      </c>
      <c r="H21" s="4" t="n">
        <f aca="false">IF(I21="add",F21*G21,0)</f>
        <v>79</v>
      </c>
      <c r="I21" s="5" t="s">
        <v>14</v>
      </c>
    </row>
    <row r="22" customFormat="false" ht="15" hidden="false" customHeight="false" outlineLevel="0" collapsed="false">
      <c r="A22" s="0" t="s">
        <v>16</v>
      </c>
      <c r="B22" s="0" t="s">
        <v>17</v>
      </c>
      <c r="C22" s="0" t="s">
        <v>37</v>
      </c>
      <c r="D22" s="0" t="s">
        <v>50</v>
      </c>
      <c r="E22" s="0" t="s">
        <v>51</v>
      </c>
      <c r="F22" s="2" t="n">
        <v>1</v>
      </c>
      <c r="G22" s="3" t="n">
        <v>259</v>
      </c>
      <c r="H22" s="4" t="n">
        <f aca="false">IF(I22="add",F22*G22,0)</f>
        <v>259</v>
      </c>
      <c r="I22" s="5" t="s">
        <v>14</v>
      </c>
    </row>
    <row r="23" customFormat="false" ht="15" hidden="false" customHeight="false" outlineLevel="0" collapsed="false">
      <c r="A23" s="0" t="s">
        <v>27</v>
      </c>
      <c r="B23" s="0" t="s">
        <v>10</v>
      </c>
      <c r="C23" s="0" t="s">
        <v>37</v>
      </c>
      <c r="D23" s="0" t="s">
        <v>52</v>
      </c>
      <c r="E23" s="0" t="s">
        <v>53</v>
      </c>
      <c r="F23" s="2" t="n">
        <v>1</v>
      </c>
      <c r="G23" s="3" t="n">
        <v>209</v>
      </c>
      <c r="H23" s="4" t="n">
        <f aca="false">IF(I23="add",F23*G23,0)</f>
        <v>209</v>
      </c>
      <c r="I23" s="5" t="s">
        <v>14</v>
      </c>
    </row>
    <row r="24" customFormat="false" ht="15" hidden="false" customHeight="false" outlineLevel="0" collapsed="false">
      <c r="A24" s="0" t="s">
        <v>27</v>
      </c>
      <c r="B24" s="0" t="s">
        <v>10</v>
      </c>
      <c r="C24" s="0" t="s">
        <v>37</v>
      </c>
      <c r="D24" s="0" t="s">
        <v>45</v>
      </c>
      <c r="E24" s="0" t="s">
        <v>54</v>
      </c>
      <c r="F24" s="2" t="n">
        <v>1</v>
      </c>
      <c r="G24" s="3" t="n">
        <v>69</v>
      </c>
      <c r="H24" s="4" t="n">
        <f aca="false">IF(I24="add",F24*G24,0)</f>
        <v>69</v>
      </c>
      <c r="I24" s="5" t="s">
        <v>14</v>
      </c>
    </row>
    <row r="25" customFormat="false" ht="15" hidden="false" customHeight="false" outlineLevel="0" collapsed="false">
      <c r="A25" s="0" t="s">
        <v>19</v>
      </c>
      <c r="B25" s="0" t="s">
        <v>17</v>
      </c>
      <c r="C25" s="0" t="s">
        <v>55</v>
      </c>
      <c r="D25" s="0" t="s">
        <v>56</v>
      </c>
      <c r="E25" s="0" t="s">
        <v>57</v>
      </c>
      <c r="F25" s="2" t="n">
        <v>1</v>
      </c>
      <c r="G25" s="3" t="n">
        <v>209</v>
      </c>
      <c r="H25" s="4" t="n">
        <f aca="false">IF(I25="add",F25*G25,0)</f>
        <v>209</v>
      </c>
      <c r="I25" s="5" t="s">
        <v>14</v>
      </c>
    </row>
    <row r="26" customFormat="false" ht="15" hidden="false" customHeight="false" outlineLevel="0" collapsed="false">
      <c r="A26" s="0" t="s">
        <v>21</v>
      </c>
      <c r="B26" s="0" t="s">
        <v>17</v>
      </c>
      <c r="C26" s="0" t="s">
        <v>55</v>
      </c>
      <c r="D26" s="0" t="s">
        <v>56</v>
      </c>
      <c r="E26" s="0" t="s">
        <v>57</v>
      </c>
      <c r="F26" s="2" t="n">
        <v>1</v>
      </c>
      <c r="G26" s="3" t="n">
        <v>209</v>
      </c>
      <c r="H26" s="4" t="n">
        <f aca="false">IF(I26="add",F26*G26,0)</f>
        <v>209</v>
      </c>
      <c r="I26" s="5" t="s">
        <v>14</v>
      </c>
    </row>
    <row r="27" customFormat="false" ht="15" hidden="false" customHeight="false" outlineLevel="0" collapsed="false">
      <c r="A27" s="0" t="s">
        <v>23</v>
      </c>
      <c r="B27" s="0" t="s">
        <v>17</v>
      </c>
      <c r="C27" s="0" t="s">
        <v>55</v>
      </c>
      <c r="D27" s="0" t="s">
        <v>56</v>
      </c>
      <c r="E27" s="0" t="s">
        <v>58</v>
      </c>
      <c r="F27" s="2" t="n">
        <v>1</v>
      </c>
      <c r="G27" s="3" t="n">
        <v>209</v>
      </c>
      <c r="H27" s="4" t="n">
        <f aca="false">IF(I27="add",F27*G27,0)</f>
        <v>209</v>
      </c>
      <c r="I27" s="5" t="s">
        <v>14</v>
      </c>
    </row>
    <row r="28" customFormat="false" ht="15" hidden="false" customHeight="false" outlineLevel="0" collapsed="false">
      <c r="A28" s="0" t="s">
        <v>16</v>
      </c>
      <c r="B28" s="0" t="s">
        <v>17</v>
      </c>
      <c r="C28" s="0" t="s">
        <v>55</v>
      </c>
      <c r="D28" s="0" t="s">
        <v>59</v>
      </c>
      <c r="E28" s="0" t="s">
        <v>60</v>
      </c>
      <c r="F28" s="2" t="n">
        <v>1</v>
      </c>
      <c r="G28" s="3" t="n">
        <v>169</v>
      </c>
      <c r="H28" s="4" t="n">
        <f aca="false">IF(I28="add",F28*G28,0)</f>
        <v>169</v>
      </c>
      <c r="I28" s="5" t="s">
        <v>14</v>
      </c>
    </row>
    <row r="29" customFormat="false" ht="15" hidden="false" customHeight="false" outlineLevel="0" collapsed="false">
      <c r="A29" s="0" t="s">
        <v>19</v>
      </c>
      <c r="B29" s="0" t="s">
        <v>17</v>
      </c>
      <c r="C29" s="0" t="s">
        <v>55</v>
      </c>
      <c r="D29" s="0" t="s">
        <v>45</v>
      </c>
      <c r="E29" s="0" t="s">
        <v>61</v>
      </c>
      <c r="F29" s="2" t="n">
        <v>1</v>
      </c>
      <c r="G29" s="3" t="n">
        <v>69</v>
      </c>
      <c r="H29" s="4" t="n">
        <f aca="false">IF(I29="add",F29*G29,0)</f>
        <v>69</v>
      </c>
      <c r="I29" s="5" t="s">
        <v>14</v>
      </c>
    </row>
    <row r="30" customFormat="false" ht="15" hidden="false" customHeight="false" outlineLevel="0" collapsed="false">
      <c r="A30" s="0" t="s">
        <v>21</v>
      </c>
      <c r="B30" s="0" t="s">
        <v>17</v>
      </c>
      <c r="C30" s="0" t="s">
        <v>55</v>
      </c>
      <c r="D30" s="0" t="s">
        <v>45</v>
      </c>
      <c r="E30" s="0" t="s">
        <v>61</v>
      </c>
      <c r="F30" s="2" t="n">
        <v>1</v>
      </c>
      <c r="G30" s="3" t="n">
        <v>69</v>
      </c>
      <c r="H30" s="4" t="n">
        <f aca="false">IF(I30="add",F30*G30,0)</f>
        <v>69</v>
      </c>
      <c r="I30" s="5" t="s">
        <v>14</v>
      </c>
    </row>
    <row r="31" customFormat="false" ht="15" hidden="false" customHeight="false" outlineLevel="0" collapsed="false">
      <c r="A31" s="0" t="s">
        <v>16</v>
      </c>
      <c r="B31" s="0" t="s">
        <v>17</v>
      </c>
      <c r="C31" s="0" t="s">
        <v>11</v>
      </c>
      <c r="D31" s="0" t="s">
        <v>35</v>
      </c>
      <c r="E31" s="0" t="s">
        <v>62</v>
      </c>
      <c r="F31" s="2" t="n">
        <v>1</v>
      </c>
      <c r="G31" s="3"/>
      <c r="H31" s="4" t="n">
        <f aca="false">IF(I31="add",F31*G31,0)</f>
        <v>0</v>
      </c>
      <c r="I31" s="5" t="s">
        <v>63</v>
      </c>
    </row>
    <row r="32" customFormat="false" ht="15" hidden="false" customHeight="false" outlineLevel="0" collapsed="false">
      <c r="A32" s="0" t="s">
        <v>16</v>
      </c>
      <c r="B32" s="0" t="s">
        <v>17</v>
      </c>
      <c r="C32" s="0" t="s">
        <v>11</v>
      </c>
      <c r="D32" s="0" t="s">
        <v>64</v>
      </c>
      <c r="E32" s="0" t="s">
        <v>65</v>
      </c>
      <c r="F32" s="2" t="n">
        <v>1</v>
      </c>
      <c r="G32" s="3"/>
      <c r="H32" s="4" t="n">
        <f aca="false">IF(I32="add",F32*G32,0)</f>
        <v>0</v>
      </c>
      <c r="I32" s="5" t="s">
        <v>63</v>
      </c>
    </row>
    <row r="33" customFormat="false" ht="15" hidden="false" customHeight="false" outlineLevel="0" collapsed="false">
      <c r="A33" s="0" t="s">
        <v>16</v>
      </c>
      <c r="B33" s="0" t="s">
        <v>17</v>
      </c>
      <c r="C33" s="0" t="s">
        <v>11</v>
      </c>
      <c r="D33" s="0" t="s">
        <v>64</v>
      </c>
      <c r="E33" s="0" t="s">
        <v>66</v>
      </c>
      <c r="F33" s="2" t="n">
        <v>1</v>
      </c>
      <c r="G33" s="3"/>
      <c r="H33" s="4" t="n">
        <f aca="false">IF(I33="add",F33*G33,0)</f>
        <v>0</v>
      </c>
      <c r="I33" s="5" t="s">
        <v>63</v>
      </c>
    </row>
    <row r="34" customFormat="false" ht="15" hidden="false" customHeight="false" outlineLevel="0" collapsed="false">
      <c r="A34" s="0" t="s">
        <v>27</v>
      </c>
      <c r="B34" s="0" t="s">
        <v>10</v>
      </c>
      <c r="C34" s="0" t="s">
        <v>11</v>
      </c>
      <c r="D34" s="0" t="s">
        <v>64</v>
      </c>
      <c r="E34" s="0" t="s">
        <v>67</v>
      </c>
      <c r="F34" s="2" t="n">
        <v>1</v>
      </c>
      <c r="G34" s="3"/>
      <c r="H34" s="4" t="n">
        <f aca="false">IF(I34="add",F34*G34,0)</f>
        <v>0</v>
      </c>
      <c r="I34" s="5" t="s">
        <v>63</v>
      </c>
    </row>
    <row r="35" customFormat="false" ht="15" hidden="false" customHeight="false" outlineLevel="0" collapsed="false">
      <c r="A35" s="0" t="s">
        <v>9</v>
      </c>
      <c r="B35" s="0" t="s">
        <v>10</v>
      </c>
      <c r="C35" s="0" t="s">
        <v>55</v>
      </c>
      <c r="D35" s="0" t="s">
        <v>64</v>
      </c>
      <c r="E35" s="0" t="s">
        <v>68</v>
      </c>
      <c r="F35" s="2" t="n">
        <v>1</v>
      </c>
      <c r="G35" s="3"/>
      <c r="H35" s="4" t="n">
        <f aca="false">IF(I35="add",F35*G35,0)</f>
        <v>0</v>
      </c>
      <c r="I35" s="5" t="s">
        <v>63</v>
      </c>
    </row>
    <row r="36" customFormat="false" ht="15" hidden="false" customHeight="false" outlineLevel="0" collapsed="false">
      <c r="A36" s="0" t="s">
        <v>19</v>
      </c>
      <c r="B36" s="0" t="s">
        <v>17</v>
      </c>
      <c r="C36" s="0" t="s">
        <v>55</v>
      </c>
      <c r="D36" s="0" t="s">
        <v>64</v>
      </c>
      <c r="E36" s="0" t="s">
        <v>69</v>
      </c>
      <c r="F36" s="2" t="n">
        <v>1</v>
      </c>
      <c r="G36" s="3"/>
      <c r="H36" s="4" t="n">
        <f aca="false">IF(I36="add",F36*G36,0)</f>
        <v>0</v>
      </c>
      <c r="I36" s="5" t="s">
        <v>63</v>
      </c>
    </row>
    <row r="37" customFormat="false" ht="15" hidden="false" customHeight="false" outlineLevel="0" collapsed="false">
      <c r="A37" s="0" t="s">
        <v>21</v>
      </c>
      <c r="B37" s="0" t="s">
        <v>17</v>
      </c>
      <c r="C37" s="0" t="s">
        <v>55</v>
      </c>
      <c r="D37" s="0" t="s">
        <v>64</v>
      </c>
      <c r="E37" s="0" t="s">
        <v>70</v>
      </c>
      <c r="F37" s="2" t="n">
        <v>1</v>
      </c>
      <c r="G37" s="3"/>
      <c r="H37" s="4" t="n">
        <f aca="false">IF(I37="add",F37*G37,0)</f>
        <v>0</v>
      </c>
      <c r="I37" s="5" t="s">
        <v>63</v>
      </c>
    </row>
    <row r="38" customFormat="false" ht="15" hidden="false" customHeight="false" outlineLevel="0" collapsed="false">
      <c r="A38" s="0" t="s">
        <v>71</v>
      </c>
      <c r="B38" s="0" t="s">
        <v>10</v>
      </c>
      <c r="C38" s="0" t="s">
        <v>37</v>
      </c>
      <c r="D38" s="0" t="s">
        <v>64</v>
      </c>
      <c r="E38" s="0" t="s">
        <v>72</v>
      </c>
      <c r="F38" s="2" t="n">
        <v>1</v>
      </c>
      <c r="G38" s="3"/>
      <c r="H38" s="4" t="n">
        <f aca="false">IF(I38="add",F38*G38,0)</f>
        <v>0</v>
      </c>
      <c r="I38" s="5" t="s">
        <v>63</v>
      </c>
    </row>
    <row r="39" customFormat="false" ht="15" hidden="false" customHeight="false" outlineLevel="0" collapsed="false">
      <c r="A39" s="6"/>
      <c r="B39" s="6"/>
      <c r="C39" s="6"/>
      <c r="D39" s="6"/>
      <c r="E39" s="6" t="s">
        <v>73</v>
      </c>
      <c r="F39" s="6"/>
      <c r="G39" s="6"/>
      <c r="H39" s="7" t="n">
        <f aca="false">SUM(H2:H38)</f>
        <v>4235</v>
      </c>
      <c r="I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8" t="s">
        <v>74</v>
      </c>
    </row>
    <row r="2" customFormat="false" ht="15" hidden="false" customHeight="false" outlineLevel="0" collapsed="false">
      <c r="A2" s="1" t="s">
        <v>1</v>
      </c>
      <c r="B2" s="1" t="s">
        <v>0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</row>
    <row r="3" customFormat="false" ht="15" hidden="false" customHeight="false" outlineLevel="0" collapsed="false">
      <c r="A3" s="0" t="s">
        <v>10</v>
      </c>
      <c r="B3" s="0" t="s">
        <v>29</v>
      </c>
      <c r="C3" s="0" t="s">
        <v>81</v>
      </c>
      <c r="D3" s="0" t="n">
        <v>1</v>
      </c>
      <c r="G3" s="4" t="n">
        <f aca="false">SUMIFS('Rough-In'!H:H,'Rough-In'!A:A,B3,'Rough-In'!I:I,"add")</f>
        <v>119</v>
      </c>
      <c r="H3" s="9" t="s">
        <v>82</v>
      </c>
    </row>
    <row r="4" customFormat="false" ht="15" hidden="false" customHeight="false" outlineLevel="0" collapsed="false">
      <c r="A4" s="0" t="s">
        <v>10</v>
      </c>
      <c r="B4" s="0" t="s">
        <v>27</v>
      </c>
      <c r="C4" s="0" t="s">
        <v>81</v>
      </c>
      <c r="D4" s="0" t="n">
        <v>1</v>
      </c>
      <c r="E4" s="0" t="n">
        <v>2</v>
      </c>
      <c r="G4" s="4" t="n">
        <f aca="false">SUMIFS('Rough-In'!H:H,'Rough-In'!A:A,B4,'Rough-In'!I:I,"add")</f>
        <v>397</v>
      </c>
      <c r="H4" s="9" t="s">
        <v>83</v>
      </c>
    </row>
    <row r="5" customFormat="false" ht="15" hidden="false" customHeight="false" outlineLevel="0" collapsed="false">
      <c r="A5" s="0" t="s">
        <v>10</v>
      </c>
      <c r="B5" s="0" t="s">
        <v>9</v>
      </c>
      <c r="C5" s="0" t="s">
        <v>81</v>
      </c>
      <c r="D5" s="0" t="n">
        <v>4</v>
      </c>
      <c r="E5" s="0" t="n">
        <v>3</v>
      </c>
      <c r="G5" s="4" t="n">
        <f aca="false">SUMIFS('Rough-In'!H:H,'Rough-In'!A:A,B5,'Rough-In'!I:I,"add")</f>
        <v>683</v>
      </c>
      <c r="H5" s="9" t="s">
        <v>84</v>
      </c>
    </row>
    <row r="6" customFormat="false" ht="15" hidden="false" customHeight="false" outlineLevel="0" collapsed="false">
      <c r="A6" s="0" t="s">
        <v>10</v>
      </c>
      <c r="B6" s="0" t="s">
        <v>71</v>
      </c>
      <c r="C6" s="0" t="s">
        <v>81</v>
      </c>
      <c r="G6" s="4" t="n">
        <f aca="false">SUMIFS('Rough-In'!H:H,'Rough-In'!A:A,B6,'Rough-In'!I:I,"add")</f>
        <v>0</v>
      </c>
      <c r="H6" s="9"/>
    </row>
    <row r="7" customFormat="false" ht="15" hidden="false" customHeight="false" outlineLevel="0" collapsed="false">
      <c r="A7" s="0" t="s">
        <v>10</v>
      </c>
      <c r="B7" s="0" t="s">
        <v>85</v>
      </c>
      <c r="C7" s="0" t="s">
        <v>81</v>
      </c>
      <c r="G7" s="4" t="n">
        <f aca="false">SUMIFS('Rough-In'!H:H,'Rough-In'!A:A,B7,'Rough-In'!I:I,"add")</f>
        <v>0</v>
      </c>
      <c r="H7" s="9"/>
    </row>
    <row r="8" customFormat="false" ht="15" hidden="false" customHeight="false" outlineLevel="0" collapsed="false">
      <c r="A8" s="0" t="s">
        <v>10</v>
      </c>
      <c r="B8" s="0" t="s">
        <v>86</v>
      </c>
      <c r="C8" s="0" t="s">
        <v>81</v>
      </c>
      <c r="G8" s="4" t="n">
        <f aca="false">SUMIFS('Rough-In'!H:H,'Rough-In'!A:A,B8,'Rough-In'!I:I,"add")</f>
        <v>0</v>
      </c>
      <c r="H8" s="9"/>
    </row>
    <row r="9" customFormat="false" ht="15" hidden="false" customHeight="false" outlineLevel="0" collapsed="false">
      <c r="A9" s="0" t="s">
        <v>10</v>
      </c>
      <c r="B9" s="0" t="s">
        <v>87</v>
      </c>
      <c r="C9" s="0" t="s">
        <v>81</v>
      </c>
      <c r="G9" s="4" t="n">
        <f aca="false">SUMIFS('Rough-In'!H:H,'Rough-In'!A:A,B9,'Rough-In'!I:I,"add")</f>
        <v>0</v>
      </c>
      <c r="H9" s="9"/>
    </row>
    <row r="10" customFormat="false" ht="15" hidden="false" customHeight="false" outlineLevel="0" collapsed="false">
      <c r="A10" s="0" t="s">
        <v>17</v>
      </c>
      <c r="B10" s="0" t="s">
        <v>19</v>
      </c>
      <c r="C10" s="0" t="s">
        <v>88</v>
      </c>
      <c r="D10" s="0" t="n">
        <v>1</v>
      </c>
      <c r="E10" s="0" t="n">
        <v>3</v>
      </c>
      <c r="F10" s="0" t="n">
        <v>2</v>
      </c>
      <c r="G10" s="4" t="n">
        <f aca="false">SUMIFS('Rough-In'!H:H,'Rough-In'!A:A,B10,'Rough-In'!I:I,"add")</f>
        <v>604</v>
      </c>
      <c r="H10" s="9" t="s">
        <v>89</v>
      </c>
    </row>
    <row r="11" customFormat="false" ht="15" hidden="false" customHeight="false" outlineLevel="0" collapsed="false">
      <c r="A11" s="0" t="s">
        <v>17</v>
      </c>
      <c r="B11" s="0" t="s">
        <v>47</v>
      </c>
      <c r="C11" s="0" t="s">
        <v>88</v>
      </c>
      <c r="E11" s="0" t="n">
        <v>1</v>
      </c>
      <c r="G11" s="4" t="n">
        <f aca="false">SUMIFS('Rough-In'!H:H,'Rough-In'!A:A,B11,'Rough-In'!I:I,"add")</f>
        <v>79</v>
      </c>
      <c r="H11" s="9" t="s">
        <v>90</v>
      </c>
    </row>
    <row r="12" customFormat="false" ht="15" hidden="false" customHeight="false" outlineLevel="0" collapsed="false">
      <c r="A12" s="0" t="s">
        <v>17</v>
      </c>
      <c r="B12" s="0" t="s">
        <v>91</v>
      </c>
      <c r="C12" s="0" t="s">
        <v>81</v>
      </c>
      <c r="G12" s="4" t="n">
        <f aca="false">SUMIFS('Rough-In'!H:H,'Rough-In'!A:A,B12,'Rough-In'!I:I,"add")</f>
        <v>0</v>
      </c>
      <c r="H12" s="9"/>
    </row>
    <row r="13" customFormat="false" ht="28.35" hidden="false" customHeight="false" outlineLevel="0" collapsed="false">
      <c r="A13" s="0" t="s">
        <v>17</v>
      </c>
      <c r="B13" s="0" t="s">
        <v>16</v>
      </c>
      <c r="C13" s="0" t="s">
        <v>88</v>
      </c>
      <c r="D13" s="0" t="n">
        <v>3</v>
      </c>
      <c r="E13" s="0" t="n">
        <v>3</v>
      </c>
      <c r="F13" s="0" t="n">
        <v>1</v>
      </c>
      <c r="G13" s="4" t="n">
        <f aca="false">SUMIFS('Rough-In'!H:H,'Rough-In'!A:A,B13,'Rough-In'!I:I,"add")</f>
        <v>1083</v>
      </c>
      <c r="H13" s="9" t="s">
        <v>92</v>
      </c>
    </row>
    <row r="14" customFormat="false" ht="15" hidden="false" customHeight="false" outlineLevel="0" collapsed="false">
      <c r="A14" s="0" t="s">
        <v>17</v>
      </c>
      <c r="B14" s="0" t="s">
        <v>23</v>
      </c>
      <c r="C14" s="0" t="s">
        <v>93</v>
      </c>
      <c r="D14" s="0" t="n">
        <v>1</v>
      </c>
      <c r="F14" s="0" t="n">
        <v>1</v>
      </c>
      <c r="G14" s="4" t="n">
        <f aca="false">SUMIFS('Rough-In'!H:H,'Rough-In'!A:A,B14,'Rough-In'!I:I,"add")</f>
        <v>328</v>
      </c>
      <c r="H14" s="9" t="s">
        <v>94</v>
      </c>
    </row>
    <row r="15" customFormat="false" ht="15" hidden="false" customHeight="false" outlineLevel="0" collapsed="false">
      <c r="A15" s="0" t="s">
        <v>17</v>
      </c>
      <c r="B15" s="0" t="s">
        <v>95</v>
      </c>
      <c r="C15" s="0" t="s">
        <v>81</v>
      </c>
      <c r="G15" s="4" t="n">
        <f aca="false">SUMIFS('Rough-In'!H:H,'Rough-In'!A:A,B15,'Rough-In'!I:I,"add")</f>
        <v>0</v>
      </c>
      <c r="H15" s="9"/>
    </row>
    <row r="16" customFormat="false" ht="15" hidden="false" customHeight="false" outlineLevel="0" collapsed="false">
      <c r="A16" s="0" t="s">
        <v>17</v>
      </c>
      <c r="B16" s="0" t="s">
        <v>21</v>
      </c>
      <c r="C16" s="0" t="s">
        <v>81</v>
      </c>
      <c r="D16" s="0" t="n">
        <v>1</v>
      </c>
      <c r="E16" s="0" t="n">
        <v>1</v>
      </c>
      <c r="F16" s="0" t="n">
        <v>2</v>
      </c>
      <c r="G16" s="4" t="n">
        <f aca="false">SUMIFS('Rough-In'!H:H,'Rough-In'!A:A,B16,'Rough-In'!I:I,"add")</f>
        <v>466</v>
      </c>
      <c r="H16" s="9" t="s">
        <v>96</v>
      </c>
    </row>
    <row r="17" customFormat="false" ht="15" hidden="false" customHeight="false" outlineLevel="0" collapsed="false">
      <c r="A17" s="0" t="s">
        <v>17</v>
      </c>
      <c r="B17" s="0" t="s">
        <v>25</v>
      </c>
      <c r="C17" s="0" t="s">
        <v>81</v>
      </c>
      <c r="D17" s="0" t="n">
        <v>1</v>
      </c>
      <c r="G17" s="4" t="n">
        <f aca="false">SUMIFS('Rough-In'!H:H,'Rough-In'!A:A,B17,'Rough-In'!I:I,"add")</f>
        <v>119</v>
      </c>
      <c r="H17" s="9" t="s">
        <v>97</v>
      </c>
    </row>
    <row r="18" customFormat="false" ht="15" hidden="false" customHeight="false" outlineLevel="0" collapsed="false">
      <c r="A18" s="0" t="s">
        <v>32</v>
      </c>
      <c r="B18" s="0" t="s">
        <v>31</v>
      </c>
      <c r="C18" s="0" t="s">
        <v>98</v>
      </c>
      <c r="D18" s="0" t="n">
        <v>3</v>
      </c>
      <c r="G18" s="4" t="n">
        <f aca="false">SUMIFS('Rough-In'!H:H,'Rough-In'!A:A,B18,'Rough-In'!I:I,"add")</f>
        <v>357</v>
      </c>
      <c r="H18" s="9" t="s">
        <v>99</v>
      </c>
    </row>
    <row r="19" customFormat="false" ht="15" hidden="false" customHeight="false" outlineLevel="0" collapsed="false">
      <c r="A19" s="0" t="s">
        <v>32</v>
      </c>
      <c r="B19" s="0" t="s">
        <v>100</v>
      </c>
      <c r="C19" s="0" t="s">
        <v>81</v>
      </c>
      <c r="G19" s="4" t="n">
        <f aca="false">SUMIFS('Rough-In'!H:H,'Rough-In'!A:A,B19,'Rough-In'!I:I,"add")</f>
        <v>0</v>
      </c>
      <c r="H19" s="9"/>
    </row>
    <row r="20" customFormat="false" ht="15" hidden="false" customHeight="false" outlineLevel="0" collapsed="false">
      <c r="A20" s="6"/>
      <c r="B20" s="6" t="s">
        <v>101</v>
      </c>
      <c r="C20" s="6"/>
      <c r="D20" s="6"/>
      <c r="E20" s="6"/>
      <c r="F20" s="6"/>
      <c r="G20" s="7" t="n">
        <f aca="false">SUM(G3:G19)</f>
        <v>4235</v>
      </c>
      <c r="H2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8" t="s">
        <v>102</v>
      </c>
    </row>
    <row r="2" customFormat="false" ht="15" hidden="false" customHeight="false" outlineLevel="0" collapsed="false">
      <c r="A2" s="10" t="s">
        <v>103</v>
      </c>
    </row>
    <row r="3" customFormat="false" ht="15" hidden="false" customHeight="false" outlineLevel="0" collapsed="false">
      <c r="A3" s="10" t="s">
        <v>104</v>
      </c>
    </row>
    <row r="4" customFormat="false" ht="15" hidden="false" customHeight="false" outlineLevel="0" collapsed="false">
      <c r="A4" s="10" t="s">
        <v>105</v>
      </c>
    </row>
    <row r="5" customFormat="false" ht="15" hidden="false" customHeight="false" outlineLevel="0" collapsed="false">
      <c r="A5" s="10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2026-07-13T04:34:41Z</dcterms:created>
  <dc:creator>openpyxl</dc:creator>
  <dc:description/>
  <dc:language>en-US</dc:language>
  <cp:lastModifiedBy/>
  <dcterms:modified xsi:type="dcterms:W3CDTF">2026-07-13T04:34:41Z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